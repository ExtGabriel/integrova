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mporal\Desktop\CFE INSIGHT\"/>
    </mc:Choice>
  </mc:AlternateContent>
  <xr:revisionPtr revIDLastSave="0" documentId="13_ncr:1_{271C685F-06B1-4344-ACD2-F1513690B387}" xr6:coauthVersionLast="47" xr6:coauthVersionMax="47" xr10:uidLastSave="{00000000-0000-0000-0000-000000000000}"/>
  <bookViews>
    <workbookView xWindow="-108" yWindow="-108" windowWidth="23256" windowHeight="12576" tabRatio="596" xr2:uid="{9464C608-D6C8-46EE-BC27-099052593D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5" i="1" l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14" i="1" a="1"/>
  <c r="C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<sst xmlns="http://schemas.openxmlformats.org/spreadsheetml/2006/main" count="204" uniqueCount="72">
  <si>
    <t>Inicio</t>
  </si>
  <si>
    <t>Final</t>
  </si>
  <si>
    <t>Octubre</t>
  </si>
  <si>
    <t>L</t>
  </si>
  <si>
    <t>M</t>
  </si>
  <si>
    <t>J</t>
  </si>
  <si>
    <t>V</t>
  </si>
  <si>
    <t>S</t>
  </si>
  <si>
    <t>D</t>
  </si>
  <si>
    <t>Actividad</t>
  </si>
  <si>
    <t>No.</t>
  </si>
  <si>
    <t>Noviembre</t>
  </si>
  <si>
    <t>Diseño del sistema</t>
  </si>
  <si>
    <t>Diseño de la base de datos (tablas, relaciones, seguridad). Diseño de interfaz de usuario (mockups o prototipos). Selección final de stack (Supabase, framework web, hosting). Validación con el cliente (que acepten el diseño).</t>
  </si>
  <si>
    <t>Desarrollo Back-End</t>
  </si>
  <si>
    <t>Desarrollo Front-End</t>
  </si>
  <si>
    <t>Pruebas y ajustes</t>
  </si>
  <si>
    <t>Capacitación y entrega</t>
  </si>
  <si>
    <t>Configuración de Supabase (BD, autenticación, roles). Programar API para usuarios, roles y registros. 
Definir flujos de seguridad (login, permisos). Pruebas internas de las APIs.</t>
  </si>
  <si>
    <t>Construcción de pantallas (login, dashboard, registros). Implementación de formularios y carga de archivos. Integración con la API. Ajustes de diseño (hacerlo amigable/estético).</t>
  </si>
  <si>
    <t>Pruebas con datos reales. Pruebas de carga (simular 15 usuarios simultáneos). Corrección de errores.</t>
  </si>
  <si>
    <t>Preparar manual de usuario. Capacitar al personal de Auditoría (SB&amp;A). Entrega oficial del sistema.</t>
  </si>
  <si>
    <t>Análisis y planeación</t>
  </si>
  <si>
    <t>Reunión inicial con directivos (definir requerimientos). Documentar procesos actuales y problemas. Definir alcance del sistema (qué se incluye y qué no). Diseño inicial de arquitectura (web, base de datos, nube).</t>
  </si>
  <si>
    <t>Diciembre</t>
  </si>
  <si>
    <t>Descripción</t>
  </si>
  <si>
    <t>Septiembre</t>
  </si>
  <si>
    <t>CFE INSIGHT</t>
  </si>
  <si>
    <t>X</t>
  </si>
  <si>
    <t>Encargado</t>
  </si>
  <si>
    <t>Terminado</t>
  </si>
  <si>
    <t>Tarea</t>
  </si>
  <si>
    <t>Estado</t>
  </si>
  <si>
    <t>Pendiente</t>
  </si>
  <si>
    <t>Fecha Limite</t>
  </si>
  <si>
    <t>Reunión inicial con directivos (definir requerimientos).</t>
  </si>
  <si>
    <t>Documentar procesos actuales y problemas.</t>
  </si>
  <si>
    <t>Definir alcance del sistema (qué se incluye y qué no).</t>
  </si>
  <si>
    <t>Diseño inicial de arquitectura (web, base de datos, nube).</t>
  </si>
  <si>
    <t>Diseño de la base de datos (tablas, relaciones, seguridad).</t>
  </si>
  <si>
    <t>Diseño de interfaz de usuario (mockups o prototipos).</t>
  </si>
  <si>
    <t>Selección final de stack (Supabase, framework web, hosting).</t>
  </si>
  <si>
    <t>Validación con el cliente (que acepten el diseño).</t>
  </si>
  <si>
    <t>Configuración de Supabase (BD, autenticación, roles).</t>
  </si>
  <si>
    <t>Programar API para usuarios, roles y registros.</t>
  </si>
  <si>
    <t>Definir flujos de seguridad (login, permisos).</t>
  </si>
  <si>
    <t>Pruebas internas de las APIs.</t>
  </si>
  <si>
    <t>Construcción de pantallas (login, dashboard, registros).</t>
  </si>
  <si>
    <t>Implementación de formularios y carga de archivos.</t>
  </si>
  <si>
    <t>Integración con la API.</t>
  </si>
  <si>
    <t>Ajustes de diseño (hacerlo amigable/estético).</t>
  </si>
  <si>
    <t>Pruebas con datos reales.</t>
  </si>
  <si>
    <t>Pruebas de carga (simular 15 usuarios simultáneos).</t>
  </si>
  <si>
    <t>Corrección de errores.</t>
  </si>
  <si>
    <t>Preparar manual de usuario.</t>
  </si>
  <si>
    <t>Capacitar al personal de Auditoría (SB&amp;A).</t>
  </si>
  <si>
    <t>Entrega oficial del sistema.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</si>
  <si>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</si>
  <si>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</si>
  <si>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</si>
  <si>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</si>
  <si>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</si>
  <si>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</si>
  <si>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</si>
  <si>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</si>
  <si>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</si>
  <si>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</si>
  <si>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</si>
  <si>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</si>
  <si>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Gabriel</t>
  </si>
  <si>
    <t>Andree</t>
  </si>
  <si>
    <t>En 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</si>
</sst>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DashDot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DashDot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Dot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DashDot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4" fontId="0" fillId="3" borderId="16" xfId="0" applyNumberForma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center" vertical="center"/>
    </xf>
    <xf numFmtId="14" fontId="0" fillId="2" borderId="13" xfId="0" applyNumberFormat="1" applyFill="1" applyBorder="1" applyAlignment="1">
      <alignment horizontal="center" vertical="center"/>
    </xf>
    <xf numFmtId="14" fontId="0" fillId="3" borderId="13" xfId="0" applyNumberFormat="1" applyFill="1" applyBorder="1" applyAlignment="1">
      <alignment horizontal="center" vertical="center"/>
    </xf>
    <xf numFmtId="14" fontId="0" fillId="3" borderId="21" xfId="0" applyNumberFormat="1" applyFill="1" applyBorder="1" applyAlignment="1">
      <alignment horizontal="center" vertical="center"/>
    </xf>
    <xf numFmtId="14" fontId="0" fillId="2" borderId="22" xfId="0" applyNumberFormat="1" applyFill="1" applyBorder="1" applyAlignment="1">
      <alignment horizontal="center" vertical="center"/>
    </xf>
    <xf numFmtId="14" fontId="0" fillId="2" borderId="23" xfId="0" applyNumberForma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14" fontId="4" fillId="3" borderId="3" xfId="0" applyNumberFormat="1" applyFont="1" applyFill="1" applyBorder="1" applyAlignment="1">
      <alignment horizontal="center" vertical="center"/>
    </xf>
    <xf numFmtId="14" fontId="4" fillId="3" borderId="17" xfId="0" applyNumberFormat="1" applyFont="1" applyFill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4" fillId="3" borderId="4" xfId="0" applyNumberFormat="1" applyFont="1" applyFill="1" applyBorder="1" applyAlignment="1">
      <alignment horizontal="center" vertical="center"/>
    </xf>
    <xf numFmtId="16" fontId="5" fillId="0" borderId="7" xfId="0" applyNumberFormat="1" applyFont="1" applyBorder="1" applyAlignment="1">
      <alignment horizontal="center" vertical="center" textRotation="90"/>
    </xf>
    <xf numFmtId="16" fontId="5" fillId="0" borderId="8" xfId="0" applyNumberFormat="1" applyFont="1" applyBorder="1" applyAlignment="1">
      <alignment horizontal="center" vertical="center" textRotation="90"/>
    </xf>
    <xf numFmtId="16" fontId="5" fillId="3" borderId="8" xfId="0" applyNumberFormat="1" applyFont="1" applyFill="1" applyBorder="1" applyAlignment="1">
      <alignment horizontal="center" vertical="center" textRotation="90"/>
    </xf>
    <xf numFmtId="16" fontId="5" fillId="3" borderId="15" xfId="0" applyNumberFormat="1" applyFont="1" applyFill="1" applyBorder="1" applyAlignment="1">
      <alignment horizontal="center" vertical="center" textRotation="90"/>
    </xf>
    <xf numFmtId="16" fontId="5" fillId="0" borderId="14" xfId="0" applyNumberFormat="1" applyFont="1" applyBorder="1" applyAlignment="1">
      <alignment horizontal="center" vertical="center" textRotation="90"/>
    </xf>
    <xf numFmtId="16" fontId="5" fillId="0" borderId="9" xfId="0" applyNumberFormat="1" applyFont="1" applyBorder="1" applyAlignment="1">
      <alignment horizontal="center" vertical="center" textRotation="90"/>
    </xf>
    <xf numFmtId="16" fontId="5" fillId="3" borderId="9" xfId="0" applyNumberFormat="1" applyFont="1" applyFill="1" applyBorder="1" applyAlignment="1">
      <alignment horizontal="center" vertical="center" textRotation="90"/>
    </xf>
    <xf numFmtId="14" fontId="0" fillId="0" borderId="13" xfId="0" applyNumberFormat="1" applyFill="1" applyBorder="1" applyAlignment="1">
      <alignment horizontal="center" vertical="center"/>
    </xf>
    <xf numFmtId="14" fontId="0" fillId="0" borderId="21" xfId="0" applyNumberFormat="1" applyFill="1" applyBorder="1" applyAlignment="1">
      <alignment horizontal="center" vertical="center"/>
    </xf>
    <xf numFmtId="16" fontId="0" fillId="0" borderId="22" xfId="0" applyNumberFormat="1" applyFill="1" applyBorder="1" applyAlignment="1">
      <alignment horizontal="center" vertical="center" textRotation="90"/>
    </xf>
    <xf numFmtId="16" fontId="0" fillId="0" borderId="13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2" xfId="0" applyNumberFormat="1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14" fontId="0" fillId="0" borderId="23" xfId="0" applyNumberForma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14" fontId="0" fillId="0" borderId="5" xfId="0" applyNumberForma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14" fontId="0" fillId="0" borderId="16" xfId="0" applyNumberFormat="1" applyFill="1" applyBorder="1" applyAlignment="1">
      <alignment horizontal="center" vertical="center"/>
    </xf>
    <xf numFmtId="14" fontId="0" fillId="0" borderId="11" xfId="0" applyNumberFormat="1" applyFill="1" applyBorder="1" applyAlignment="1">
      <alignment horizontal="center" vertical="center"/>
    </xf>
    <xf numFmtId="14" fontId="0" fillId="0" borderId="6" xfId="0" applyNumberForma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4" fontId="0" fillId="0" borderId="7" xfId="0" applyNumberFormat="1" applyFill="1" applyBorder="1" applyAlignment="1">
      <alignment horizontal="center" vertical="center"/>
    </xf>
    <xf numFmtId="14" fontId="0" fillId="0" borderId="8" xfId="0" applyNumberFormat="1" applyFill="1" applyBorder="1" applyAlignment="1">
      <alignment horizontal="center" vertical="center"/>
    </xf>
    <xf numFmtId="14" fontId="0" fillId="0" borderId="15" xfId="0" applyNumberFormat="1" applyFill="1" applyBorder="1" applyAlignment="1">
      <alignment horizontal="center" vertical="center"/>
    </xf>
    <xf numFmtId="14" fontId="0" fillId="0" borderId="14" xfId="0" applyNumberFormat="1" applyFill="1" applyBorder="1" applyAlignment="1">
      <alignment horizontal="center" vertical="center"/>
    </xf>
    <xf numFmtId="14" fontId="0" fillId="0" borderId="9" xfId="0" applyNumberForma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6" fillId="0" borderId="24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 vertical="center"/>
    </xf>
    <xf numFmtId="14" fontId="1" fillId="0" borderId="25" xfId="0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4" fontId="6" fillId="0" borderId="27" xfId="0" applyNumberFormat="1" applyFont="1" applyBorder="1" applyAlignment="1">
      <alignment horizontal="center" vertical="center"/>
    </xf>
    <xf numFmtId="14" fontId="6" fillId="0" borderId="28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4" fontId="6" fillId="0" borderId="0" xfId="0" applyNumberFormat="1" applyFon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31" xfId="0" applyBorder="1" applyAlignment="1">
      <alignment horizontal="center" vertical="center"/>
    </xf>
    <xf numFmtId="14" fontId="0" fillId="0" borderId="31" xfId="0" applyNumberFormat="1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14" fontId="6" fillId="0" borderId="29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4" fontId="1" fillId="0" borderId="18" xfId="0" applyNumberFormat="1" applyFont="1" applyBorder="1" applyAlignment="1">
      <alignment horizontal="center" vertical="center"/>
    </xf>
    <xf numFmtId="14" fontId="1" fillId="0" borderId="19" xfId="0" applyNumberFormat="1" applyFont="1" applyBorder="1" applyAlignment="1">
      <alignment horizontal="center" vertical="center"/>
    </xf>
    <xf numFmtId="14" fontId="1" fillId="0" borderId="20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Normal" xfId="0" builtinId="0"/>
  </cellStyles>
  <dxfs count="19"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/mm/yyyy"/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2E9FE8-83F5-4079-95BA-83A7485D493C}" name="Tabla1" displayName="Tabla1" ref="B13:F35" totalsRowShown="0" headerRowDxfId="15" dataDxfId="14">
  <autoFilter ref="B13:F35" xr:uid="{752E9FE8-83F5-4079-95BA-83A7485D493C}"/>
  <tableColumns count="5">
    <tableColumn id="1" xr3:uid="{951301EB-2A06-4C54-8882-B93160FC1A98}" name="No." dataDxfId="13"/>
    <tableColumn id="2" xr3:uid="{56511E3A-0F12-42BF-8BD9-86F205F09070}" name="Fecha Limite" dataDxfId="12">
      <calculatedColumnFormula array="1">IF(F14="Terminado","-",IF(_xlfn.IFS(B14=B$5,F$5,B14=B$6,F$6,B14=B$7,F$7,B14=B$8,F$8,B14=B$9,F$9,B14=B$10,F$10)&lt;TODAY(),"FUERA DE PLAZO",_xlfn.IFS(B14=B$5,F$5,B14=B$6,F$6,B14=B$7,F$7,B14=B$8,F$8,B14=B$9,F$9,B14=B$10,F$10)))</calculatedColumnFormula>
    </tableColumn>
    <tableColumn id="3" xr3:uid="{CCAEE399-E126-4256-9784-C83808C4B978}" name="Tarea" dataDxfId="11"/>
    <tableColumn id="4" xr3:uid="{21ABFC56-410A-40A4-9AFE-47447F5ABDDB}" name="Encargado" dataDxfId="10"/>
    <tableColumn id="5" xr3:uid="{62F32A49-BAB8-416A-A4A8-0D04A79F2987}" name="Estado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A309CD-DC5C-4E91-81F9-B3573F0D1E87}" name="Tabla2" displayName="Tabla2" ref="B4:F10" totalsRowShown="0" headerRowDxfId="8" headerRowBorderDxfId="7" tableBorderDxfId="6" totalsRowBorderDxfId="5">
  <autoFilter ref="B4:F10" xr:uid="{46A309CD-DC5C-4E91-81F9-B3573F0D1E87}"/>
  <tableColumns count="5">
    <tableColumn id="1" xr3:uid="{18E01A9D-6B91-471B-B0A7-A43D36F18AF9}" name="No." dataDxfId="4"/>
    <tableColumn id="2" xr3:uid="{0D9ECD6E-AF78-4769-A39F-14E4EC0BA9FE}" name="Actividad" dataDxfId="3"/>
    <tableColumn id="3" xr3:uid="{9A66732A-CC90-40D4-B9C6-DBE3FE1348ED}" name="Descripción" dataDxfId="2"/>
    <tableColumn id="4" xr3:uid="{10E2319F-8553-42F0-BF19-226C0EF65A28}" name="Inicio" dataDxfId="1"/>
    <tableColumn id="5" xr3:uid="{A070029D-C578-46AE-860A-CA1508CAD306}" name="Final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9112-F67A-4339-A1FE-22614350FC86}">
  <dimension ref="B1:CL50"/>
  <sheetViews>
    <sheetView tabSelected="1" topLeftCell="A13" zoomScale="85" zoomScaleNormal="85" workbookViewId="0">
      <selection activeCell="F25" sqref="F25"/>
    </sheetView>
  </sheetViews>
  <sheetFormatPr baseColWidth="10" defaultColWidth="4.33203125" defaultRowHeight="14.4" x14ac:dyDescent="0.3"/>
  <cols>
    <col min="1" max="1" width="4.33203125" style="1"/>
    <col min="2" max="2" width="12.109375" style="1" bestFit="1" customWidth="1"/>
    <col min="3" max="3" width="23.44140625" style="1" bestFit="1" customWidth="1"/>
    <col min="4" max="4" width="108.109375" style="1" bestFit="1" customWidth="1"/>
    <col min="5" max="5" width="20.5546875" style="2" bestFit="1" customWidth="1"/>
    <col min="6" max="6" width="16" style="2" bestFit="1" customWidth="1"/>
    <col min="7" max="7" width="4.5546875" style="2" bestFit="1" customWidth="1"/>
    <col min="8" max="9" width="5" style="2" bestFit="1" customWidth="1"/>
    <col min="10" max="10" width="4.5546875" style="2" bestFit="1" customWidth="1"/>
    <col min="11" max="13" width="4.88671875" style="2" bestFit="1" customWidth="1"/>
    <col min="14" max="14" width="4.5546875" style="2" bestFit="1" customWidth="1"/>
    <col min="15" max="16" width="5" style="2" bestFit="1" customWidth="1"/>
    <col min="17" max="17" width="4.5546875" style="2" bestFit="1" customWidth="1"/>
    <col min="18" max="20" width="4.88671875" style="2" bestFit="1" customWidth="1"/>
    <col min="21" max="21" width="4.5546875" style="1" bestFit="1" customWidth="1"/>
    <col min="22" max="23" width="5" style="1" bestFit="1" customWidth="1"/>
    <col min="24" max="24" width="4.5546875" style="1" bestFit="1" customWidth="1"/>
    <col min="25" max="27" width="4.88671875" style="1" bestFit="1" customWidth="1"/>
    <col min="28" max="28" width="4.5546875" style="1" bestFit="1" customWidth="1"/>
    <col min="29" max="30" width="5" style="1" bestFit="1" customWidth="1"/>
    <col min="31" max="31" width="4.5546875" style="1" bestFit="1" customWidth="1"/>
    <col min="32" max="34" width="4.88671875" style="1" bestFit="1" customWidth="1"/>
    <col min="35" max="35" width="4.5546875" style="1" bestFit="1" customWidth="1"/>
    <col min="36" max="37" width="5" style="1" bestFit="1" customWidth="1"/>
    <col min="38" max="38" width="4.5546875" style="1" bestFit="1" customWidth="1"/>
    <col min="39" max="41" width="4.88671875" style="1" bestFit="1" customWidth="1"/>
    <col min="42" max="42" width="4.5546875" style="1" bestFit="1" customWidth="1"/>
    <col min="43" max="44" width="5" style="1" bestFit="1" customWidth="1"/>
    <col min="45" max="45" width="4.5546875" style="1" bestFit="1" customWidth="1"/>
    <col min="46" max="48" width="4.88671875" style="1" bestFit="1" customWidth="1"/>
    <col min="49" max="49" width="4.5546875" style="1" bestFit="1" customWidth="1"/>
    <col min="50" max="51" width="5" style="1" bestFit="1" customWidth="1"/>
    <col min="52" max="52" width="4.5546875" style="1" bestFit="1" customWidth="1"/>
    <col min="53" max="55" width="4.88671875" style="1" bestFit="1" customWidth="1"/>
    <col min="56" max="56" width="4.5546875" style="1" bestFit="1" customWidth="1"/>
    <col min="57" max="58" width="5" style="1" bestFit="1" customWidth="1"/>
    <col min="59" max="59" width="4.5546875" style="1" bestFit="1" customWidth="1"/>
    <col min="60" max="62" width="4.88671875" style="1" bestFit="1" customWidth="1"/>
    <col min="63" max="63" width="4.5546875" style="1" bestFit="1" customWidth="1"/>
    <col min="64" max="65" width="5" style="1" bestFit="1" customWidth="1"/>
    <col min="66" max="66" width="4.5546875" style="1" bestFit="1" customWidth="1"/>
    <col min="67" max="69" width="4.88671875" style="1" bestFit="1" customWidth="1"/>
    <col min="70" max="70" width="4.5546875" style="1" bestFit="1" customWidth="1"/>
    <col min="71" max="72" width="5" style="1" bestFit="1" customWidth="1"/>
    <col min="73" max="73" width="4.5546875" style="1" bestFit="1" customWidth="1"/>
    <col min="74" max="76" width="4.88671875" style="1" bestFit="1" customWidth="1"/>
    <col min="77" max="77" width="4.5546875" style="1" bestFit="1" customWidth="1"/>
    <col min="78" max="79" width="5" style="1" bestFit="1" customWidth="1"/>
    <col min="80" max="80" width="4.5546875" style="1" bestFit="1" customWidth="1"/>
    <col min="81" max="83" width="4.88671875" style="1" bestFit="1" customWidth="1"/>
    <col min="84" max="84" width="4.5546875" style="1" bestFit="1" customWidth="1"/>
    <col min="85" max="86" width="5" style="1" bestFit="1" customWidth="1"/>
    <col min="87" max="87" width="4.5546875" style="1" bestFit="1" customWidth="1"/>
    <col min="88" max="88" width="4.88671875" style="1" bestFit="1" customWidth="1"/>
    <col min="89" max="16384" width="4.33203125" style="1"/>
  </cols>
  <sheetData>
    <row r="1" spans="2:90" ht="15" thickBot="1" x14ac:dyDescent="0.35"/>
    <row r="2" spans="2:90" ht="15" thickBot="1" x14ac:dyDescent="0.35">
      <c r="B2" s="96" t="s">
        <v>27</v>
      </c>
      <c r="C2" s="97"/>
      <c r="D2" s="97"/>
      <c r="E2" s="97"/>
      <c r="F2" s="98"/>
      <c r="G2" s="93" t="s">
        <v>26</v>
      </c>
      <c r="H2" s="94"/>
      <c r="I2" s="94"/>
      <c r="J2" s="94"/>
      <c r="K2" s="94"/>
      <c r="L2" s="94"/>
      <c r="M2" s="94"/>
      <c r="N2" s="94"/>
      <c r="O2" s="95"/>
      <c r="P2" s="90" t="s">
        <v>2</v>
      </c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2"/>
      <c r="AT2" s="90" t="s">
        <v>11</v>
      </c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1"/>
      <c r="BG2" s="91"/>
      <c r="BH2" s="91"/>
      <c r="BI2" s="91"/>
      <c r="BJ2" s="91"/>
      <c r="BK2" s="91"/>
      <c r="BL2" s="91"/>
      <c r="BM2" s="91"/>
      <c r="BN2" s="91"/>
      <c r="BO2" s="91"/>
      <c r="BP2" s="91"/>
      <c r="BQ2" s="91"/>
      <c r="BR2" s="91"/>
      <c r="BS2" s="91"/>
      <c r="BT2" s="91"/>
      <c r="BU2" s="91"/>
      <c r="BV2" s="91"/>
      <c r="BW2" s="91"/>
      <c r="BX2" s="92"/>
      <c r="BY2" s="90" t="s">
        <v>24</v>
      </c>
      <c r="BZ2" s="91"/>
      <c r="CA2" s="91"/>
      <c r="CB2" s="91"/>
      <c r="CC2" s="91"/>
      <c r="CD2" s="91"/>
      <c r="CE2" s="91"/>
      <c r="CF2" s="91"/>
      <c r="CG2" s="91"/>
      <c r="CH2" s="91"/>
      <c r="CI2" s="91"/>
      <c r="CJ2" s="92"/>
    </row>
    <row r="3" spans="2:90" ht="15" thickBot="1" x14ac:dyDescent="0.35">
      <c r="B3" s="99"/>
      <c r="C3" s="100"/>
      <c r="D3" s="100"/>
      <c r="E3" s="100"/>
      <c r="F3" s="101"/>
      <c r="G3" s="19" t="s">
        <v>3</v>
      </c>
      <c r="H3" s="20" t="s">
        <v>4</v>
      </c>
      <c r="I3" s="20" t="s">
        <v>4</v>
      </c>
      <c r="J3" s="20" t="s">
        <v>5</v>
      </c>
      <c r="K3" s="20" t="s">
        <v>6</v>
      </c>
      <c r="L3" s="21" t="s">
        <v>7</v>
      </c>
      <c r="M3" s="22" t="s">
        <v>8</v>
      </c>
      <c r="N3" s="23" t="s">
        <v>3</v>
      </c>
      <c r="O3" s="24" t="s">
        <v>4</v>
      </c>
      <c r="P3" s="19" t="s">
        <v>4</v>
      </c>
      <c r="Q3" s="20" t="s">
        <v>5</v>
      </c>
      <c r="R3" s="20" t="s">
        <v>6</v>
      </c>
      <c r="S3" s="21" t="s">
        <v>7</v>
      </c>
      <c r="T3" s="22" t="s">
        <v>8</v>
      </c>
      <c r="U3" s="23" t="s">
        <v>3</v>
      </c>
      <c r="V3" s="20" t="s">
        <v>4</v>
      </c>
      <c r="W3" s="20" t="s">
        <v>4</v>
      </c>
      <c r="X3" s="20" t="s">
        <v>5</v>
      </c>
      <c r="Y3" s="20" t="s">
        <v>6</v>
      </c>
      <c r="Z3" s="21" t="s">
        <v>7</v>
      </c>
      <c r="AA3" s="22" t="s">
        <v>8</v>
      </c>
      <c r="AB3" s="23" t="s">
        <v>3</v>
      </c>
      <c r="AC3" s="20" t="s">
        <v>4</v>
      </c>
      <c r="AD3" s="20" t="s">
        <v>4</v>
      </c>
      <c r="AE3" s="20" t="s">
        <v>5</v>
      </c>
      <c r="AF3" s="20" t="s">
        <v>6</v>
      </c>
      <c r="AG3" s="21" t="s">
        <v>7</v>
      </c>
      <c r="AH3" s="22" t="s">
        <v>8</v>
      </c>
      <c r="AI3" s="23" t="s">
        <v>3</v>
      </c>
      <c r="AJ3" s="20" t="s">
        <v>4</v>
      </c>
      <c r="AK3" s="20" t="s">
        <v>4</v>
      </c>
      <c r="AL3" s="20" t="s">
        <v>5</v>
      </c>
      <c r="AM3" s="20" t="s">
        <v>6</v>
      </c>
      <c r="AN3" s="21" t="s">
        <v>7</v>
      </c>
      <c r="AO3" s="22" t="s">
        <v>8</v>
      </c>
      <c r="AP3" s="23" t="s">
        <v>3</v>
      </c>
      <c r="AQ3" s="20" t="s">
        <v>4</v>
      </c>
      <c r="AR3" s="20" t="s">
        <v>4</v>
      </c>
      <c r="AS3" s="24" t="s">
        <v>5</v>
      </c>
      <c r="AT3" s="19" t="s">
        <v>6</v>
      </c>
      <c r="AU3" s="21" t="s">
        <v>7</v>
      </c>
      <c r="AV3" s="22" t="s">
        <v>8</v>
      </c>
      <c r="AW3" s="23" t="s">
        <v>3</v>
      </c>
      <c r="AX3" s="20" t="s">
        <v>4</v>
      </c>
      <c r="AY3" s="20" t="s">
        <v>4</v>
      </c>
      <c r="AZ3" s="20" t="s">
        <v>5</v>
      </c>
      <c r="BA3" s="20" t="s">
        <v>6</v>
      </c>
      <c r="BB3" s="21" t="s">
        <v>7</v>
      </c>
      <c r="BC3" s="22" t="s">
        <v>8</v>
      </c>
      <c r="BD3" s="23" t="s">
        <v>3</v>
      </c>
      <c r="BE3" s="20" t="s">
        <v>4</v>
      </c>
      <c r="BF3" s="20" t="s">
        <v>4</v>
      </c>
      <c r="BG3" s="20" t="s">
        <v>5</v>
      </c>
      <c r="BH3" s="20" t="s">
        <v>6</v>
      </c>
      <c r="BI3" s="21" t="s">
        <v>7</v>
      </c>
      <c r="BJ3" s="22" t="s">
        <v>8</v>
      </c>
      <c r="BK3" s="23" t="s">
        <v>3</v>
      </c>
      <c r="BL3" s="20" t="s">
        <v>4</v>
      </c>
      <c r="BM3" s="20" t="s">
        <v>4</v>
      </c>
      <c r="BN3" s="20" t="s">
        <v>5</v>
      </c>
      <c r="BO3" s="20" t="s">
        <v>6</v>
      </c>
      <c r="BP3" s="21" t="s">
        <v>7</v>
      </c>
      <c r="BQ3" s="22" t="s">
        <v>8</v>
      </c>
      <c r="BR3" s="23" t="s">
        <v>3</v>
      </c>
      <c r="BS3" s="20" t="s">
        <v>4</v>
      </c>
      <c r="BT3" s="20" t="s">
        <v>4</v>
      </c>
      <c r="BU3" s="20" t="s">
        <v>5</v>
      </c>
      <c r="BV3" s="20" t="s">
        <v>6</v>
      </c>
      <c r="BW3" s="21" t="s">
        <v>7</v>
      </c>
      <c r="BX3" s="25" t="s">
        <v>8</v>
      </c>
      <c r="BY3" s="19" t="s">
        <v>3</v>
      </c>
      <c r="BZ3" s="20" t="s">
        <v>4</v>
      </c>
      <c r="CA3" s="20" t="s">
        <v>4</v>
      </c>
      <c r="CB3" s="20" t="s">
        <v>5</v>
      </c>
      <c r="CC3" s="20" t="s">
        <v>6</v>
      </c>
      <c r="CD3" s="21" t="s">
        <v>7</v>
      </c>
      <c r="CE3" s="22" t="s">
        <v>8</v>
      </c>
      <c r="CF3" s="23" t="s">
        <v>3</v>
      </c>
      <c r="CG3" s="20" t="s">
        <v>4</v>
      </c>
      <c r="CH3" s="20" t="s">
        <v>4</v>
      </c>
      <c r="CI3" s="20" t="s">
        <v>5</v>
      </c>
      <c r="CJ3" s="24" t="s">
        <v>6</v>
      </c>
    </row>
    <row r="4" spans="2:90" ht="35.4" thickBot="1" x14ac:dyDescent="0.35">
      <c r="B4" s="67" t="s">
        <v>10</v>
      </c>
      <c r="C4" s="68" t="s">
        <v>9</v>
      </c>
      <c r="D4" s="68" t="s">
        <v>25</v>
      </c>
      <c r="E4" s="69" t="s">
        <v>0</v>
      </c>
      <c r="F4" s="70" t="s">
        <v>1</v>
      </c>
      <c r="G4" s="26">
        <v>45922</v>
      </c>
      <c r="H4" s="27">
        <v>45923</v>
      </c>
      <c r="I4" s="27">
        <v>45924</v>
      </c>
      <c r="J4" s="27">
        <v>45925</v>
      </c>
      <c r="K4" s="27">
        <v>45926</v>
      </c>
      <c r="L4" s="28">
        <v>45927</v>
      </c>
      <c r="M4" s="29">
        <v>45928</v>
      </c>
      <c r="N4" s="30">
        <v>45929</v>
      </c>
      <c r="O4" s="31">
        <v>45930</v>
      </c>
      <c r="P4" s="26">
        <v>45931</v>
      </c>
      <c r="Q4" s="27">
        <v>45932</v>
      </c>
      <c r="R4" s="27">
        <v>45933</v>
      </c>
      <c r="S4" s="28">
        <v>45934</v>
      </c>
      <c r="T4" s="29">
        <v>45935</v>
      </c>
      <c r="U4" s="30">
        <v>45936</v>
      </c>
      <c r="V4" s="27">
        <v>45937</v>
      </c>
      <c r="W4" s="27">
        <v>45938</v>
      </c>
      <c r="X4" s="27">
        <v>45939</v>
      </c>
      <c r="Y4" s="27">
        <v>45940</v>
      </c>
      <c r="Z4" s="28">
        <v>45941</v>
      </c>
      <c r="AA4" s="29">
        <v>45942</v>
      </c>
      <c r="AB4" s="30">
        <v>45943</v>
      </c>
      <c r="AC4" s="27">
        <v>45944</v>
      </c>
      <c r="AD4" s="27">
        <v>45945</v>
      </c>
      <c r="AE4" s="27">
        <v>45946</v>
      </c>
      <c r="AF4" s="27">
        <v>45947</v>
      </c>
      <c r="AG4" s="28">
        <v>45948</v>
      </c>
      <c r="AH4" s="29">
        <v>45949</v>
      </c>
      <c r="AI4" s="30">
        <v>45950</v>
      </c>
      <c r="AJ4" s="27">
        <v>45951</v>
      </c>
      <c r="AK4" s="27">
        <v>45952</v>
      </c>
      <c r="AL4" s="27">
        <v>45953</v>
      </c>
      <c r="AM4" s="27">
        <v>45954</v>
      </c>
      <c r="AN4" s="28">
        <v>45955</v>
      </c>
      <c r="AO4" s="29">
        <v>45956</v>
      </c>
      <c r="AP4" s="30">
        <v>45957</v>
      </c>
      <c r="AQ4" s="27">
        <v>45958</v>
      </c>
      <c r="AR4" s="27">
        <v>45959</v>
      </c>
      <c r="AS4" s="31">
        <v>45960</v>
      </c>
      <c r="AT4" s="26">
        <v>45961</v>
      </c>
      <c r="AU4" s="28">
        <v>45962</v>
      </c>
      <c r="AV4" s="29">
        <v>45963</v>
      </c>
      <c r="AW4" s="30">
        <v>45964</v>
      </c>
      <c r="AX4" s="27">
        <v>45965</v>
      </c>
      <c r="AY4" s="27">
        <v>45966</v>
      </c>
      <c r="AZ4" s="27">
        <v>45967</v>
      </c>
      <c r="BA4" s="27">
        <v>45968</v>
      </c>
      <c r="BB4" s="28">
        <v>45969</v>
      </c>
      <c r="BC4" s="29">
        <v>45970</v>
      </c>
      <c r="BD4" s="30">
        <v>45971</v>
      </c>
      <c r="BE4" s="27">
        <v>45972</v>
      </c>
      <c r="BF4" s="27">
        <v>45973</v>
      </c>
      <c r="BG4" s="27">
        <v>45974</v>
      </c>
      <c r="BH4" s="27">
        <v>45975</v>
      </c>
      <c r="BI4" s="28">
        <v>45976</v>
      </c>
      <c r="BJ4" s="29">
        <v>45977</v>
      </c>
      <c r="BK4" s="30">
        <v>45978</v>
      </c>
      <c r="BL4" s="27">
        <v>45979</v>
      </c>
      <c r="BM4" s="27">
        <v>45980</v>
      </c>
      <c r="BN4" s="27">
        <v>45981</v>
      </c>
      <c r="BO4" s="27">
        <v>45982</v>
      </c>
      <c r="BP4" s="28">
        <v>45983</v>
      </c>
      <c r="BQ4" s="29">
        <v>45984</v>
      </c>
      <c r="BR4" s="30">
        <v>45985</v>
      </c>
      <c r="BS4" s="27">
        <v>45986</v>
      </c>
      <c r="BT4" s="27">
        <v>45987</v>
      </c>
      <c r="BU4" s="27">
        <v>45988</v>
      </c>
      <c r="BV4" s="27">
        <v>45989</v>
      </c>
      <c r="BW4" s="28">
        <v>45990</v>
      </c>
      <c r="BX4" s="32">
        <v>45991</v>
      </c>
      <c r="BY4" s="26">
        <v>45992</v>
      </c>
      <c r="BZ4" s="27">
        <v>45993</v>
      </c>
      <c r="CA4" s="27">
        <v>45994</v>
      </c>
      <c r="CB4" s="27">
        <v>45995</v>
      </c>
      <c r="CC4" s="27">
        <v>45996</v>
      </c>
      <c r="CD4" s="28">
        <v>45997</v>
      </c>
      <c r="CE4" s="29">
        <v>45998</v>
      </c>
      <c r="CF4" s="30">
        <v>45999</v>
      </c>
      <c r="CG4" s="27">
        <v>46000</v>
      </c>
      <c r="CH4" s="27">
        <v>46001</v>
      </c>
      <c r="CI4" s="27">
        <v>46002</v>
      </c>
      <c r="CJ4" s="31">
        <v>46003</v>
      </c>
    </row>
    <row r="5" spans="2:90" ht="28.8" x14ac:dyDescent="0.3">
      <c r="B5" s="65">
        <v>1</v>
      </c>
      <c r="C5" s="4" t="s">
        <v>22</v>
      </c>
      <c r="D5" s="83" t="s">
        <v>23</v>
      </c>
      <c r="E5" s="62">
        <v>45922</v>
      </c>
      <c r="F5" s="66">
        <v>45933</v>
      </c>
      <c r="G5" s="13" t="s">
        <v>28</v>
      </c>
      <c r="H5" s="14" t="s">
        <v>28</v>
      </c>
      <c r="I5" s="14" t="s">
        <v>28</v>
      </c>
      <c r="J5" s="14" t="s">
        <v>28</v>
      </c>
      <c r="K5" s="14" t="s">
        <v>28</v>
      </c>
      <c r="L5" s="15"/>
      <c r="M5" s="16"/>
      <c r="N5" s="17" t="s">
        <v>28</v>
      </c>
      <c r="O5" s="18" t="s">
        <v>28</v>
      </c>
      <c r="P5" s="13" t="s">
        <v>28</v>
      </c>
      <c r="Q5" s="14" t="s">
        <v>28</v>
      </c>
      <c r="R5" s="14" t="s">
        <v>28</v>
      </c>
      <c r="S5" s="33"/>
      <c r="T5" s="34"/>
      <c r="U5" s="35"/>
      <c r="V5" s="36"/>
      <c r="W5" s="36"/>
      <c r="X5" s="36"/>
      <c r="Y5" s="36"/>
      <c r="Z5" s="33"/>
      <c r="AA5" s="34"/>
      <c r="AB5" s="35"/>
      <c r="AC5" s="36"/>
      <c r="AD5" s="36"/>
      <c r="AE5" s="36"/>
      <c r="AF5" s="36"/>
      <c r="AG5" s="33"/>
      <c r="AH5" s="34"/>
      <c r="AI5" s="35"/>
      <c r="AJ5" s="36"/>
      <c r="AK5" s="36"/>
      <c r="AL5" s="36"/>
      <c r="AM5" s="36"/>
      <c r="AN5" s="33"/>
      <c r="AO5" s="34"/>
      <c r="AP5" s="35"/>
      <c r="AQ5" s="36"/>
      <c r="AR5" s="36"/>
      <c r="AS5" s="37"/>
      <c r="AT5" s="38"/>
      <c r="AU5" s="33"/>
      <c r="AV5" s="34"/>
      <c r="AW5" s="35"/>
      <c r="AX5" s="36"/>
      <c r="AY5" s="36"/>
      <c r="AZ5" s="36"/>
      <c r="BA5" s="36"/>
      <c r="BB5" s="33"/>
      <c r="BC5" s="34"/>
      <c r="BD5" s="35"/>
      <c r="BE5" s="36"/>
      <c r="BF5" s="36"/>
      <c r="BG5" s="36"/>
      <c r="BH5" s="36"/>
      <c r="BI5" s="33"/>
      <c r="BJ5" s="34"/>
      <c r="BK5" s="35"/>
      <c r="BL5" s="36"/>
      <c r="BM5" s="36"/>
      <c r="BN5" s="36"/>
      <c r="BO5" s="36"/>
      <c r="BP5" s="33"/>
      <c r="BQ5" s="34"/>
      <c r="BR5" s="39"/>
      <c r="BS5" s="40"/>
      <c r="BT5" s="40"/>
      <c r="BU5" s="40"/>
      <c r="BV5" s="40"/>
      <c r="BW5" s="33"/>
      <c r="BX5" s="41"/>
      <c r="BY5" s="42"/>
      <c r="BZ5" s="40"/>
      <c r="CA5" s="40"/>
      <c r="CB5" s="40"/>
      <c r="CC5" s="40"/>
      <c r="CD5" s="33"/>
      <c r="CE5" s="34"/>
      <c r="CF5" s="39"/>
      <c r="CG5" s="40"/>
      <c r="CH5" s="40"/>
      <c r="CI5" s="40"/>
      <c r="CJ5" s="43"/>
    </row>
    <row r="6" spans="2:90" ht="28.8" x14ac:dyDescent="0.3">
      <c r="B6" s="65">
        <v>2</v>
      </c>
      <c r="C6" s="4" t="s">
        <v>12</v>
      </c>
      <c r="D6" s="83" t="s">
        <v>13</v>
      </c>
      <c r="E6" s="62">
        <v>45936</v>
      </c>
      <c r="F6" s="66">
        <v>45947</v>
      </c>
      <c r="G6" s="44"/>
      <c r="H6" s="45"/>
      <c r="I6" s="45"/>
      <c r="J6" s="45"/>
      <c r="K6" s="45"/>
      <c r="L6" s="45"/>
      <c r="M6" s="46"/>
      <c r="N6" s="47"/>
      <c r="O6" s="48"/>
      <c r="P6" s="44"/>
      <c r="Q6" s="45"/>
      <c r="R6" s="45"/>
      <c r="S6" s="45"/>
      <c r="T6" s="46"/>
      <c r="U6" s="9" t="s">
        <v>28</v>
      </c>
      <c r="V6" s="5" t="s">
        <v>28</v>
      </c>
      <c r="W6" s="5" t="s">
        <v>28</v>
      </c>
      <c r="X6" s="5" t="s">
        <v>28</v>
      </c>
      <c r="Y6" s="5" t="s">
        <v>28</v>
      </c>
      <c r="Z6" s="3"/>
      <c r="AA6" s="8"/>
      <c r="AB6" s="9" t="s">
        <v>28</v>
      </c>
      <c r="AC6" s="5" t="s">
        <v>28</v>
      </c>
      <c r="AD6" s="5"/>
      <c r="AE6" s="5"/>
      <c r="AF6" s="5"/>
      <c r="AG6" s="45"/>
      <c r="AH6" s="46"/>
      <c r="AI6" s="49"/>
      <c r="AJ6" s="50"/>
      <c r="AK6" s="50"/>
      <c r="AL6" s="50"/>
      <c r="AM6" s="50"/>
      <c r="AN6" s="45"/>
      <c r="AO6" s="46"/>
      <c r="AP6" s="49"/>
      <c r="AQ6" s="50"/>
      <c r="AR6" s="50"/>
      <c r="AS6" s="51"/>
      <c r="AT6" s="52"/>
      <c r="AU6" s="45"/>
      <c r="AV6" s="46"/>
      <c r="AW6" s="49"/>
      <c r="AX6" s="50"/>
      <c r="AY6" s="50"/>
      <c r="AZ6" s="50"/>
      <c r="BA6" s="50"/>
      <c r="BB6" s="45"/>
      <c r="BC6" s="46"/>
      <c r="BD6" s="49"/>
      <c r="BE6" s="50"/>
      <c r="BF6" s="50"/>
      <c r="BG6" s="50"/>
      <c r="BH6" s="50"/>
      <c r="BI6" s="45"/>
      <c r="BJ6" s="46"/>
      <c r="BK6" s="49"/>
      <c r="BL6" s="50"/>
      <c r="BM6" s="50"/>
      <c r="BN6" s="50"/>
      <c r="BO6" s="50"/>
      <c r="BP6" s="45"/>
      <c r="BQ6" s="46"/>
      <c r="BR6" s="49"/>
      <c r="BS6" s="50"/>
      <c r="BT6" s="50"/>
      <c r="BU6" s="50"/>
      <c r="BV6" s="50"/>
      <c r="BW6" s="45"/>
      <c r="BX6" s="48"/>
      <c r="BY6" s="52"/>
      <c r="BZ6" s="50"/>
      <c r="CA6" s="50"/>
      <c r="CB6" s="50"/>
      <c r="CC6" s="50"/>
      <c r="CD6" s="45"/>
      <c r="CE6" s="46"/>
      <c r="CF6" s="49"/>
      <c r="CG6" s="50"/>
      <c r="CH6" s="50"/>
      <c r="CI6" s="50"/>
      <c r="CJ6" s="51"/>
    </row>
    <row r="7" spans="2:90" ht="28.8" x14ac:dyDescent="0.3">
      <c r="B7" s="65">
        <v>3</v>
      </c>
      <c r="C7" s="4" t="s">
        <v>14</v>
      </c>
      <c r="D7" s="83" t="s">
        <v>18</v>
      </c>
      <c r="E7" s="62">
        <v>45950</v>
      </c>
      <c r="F7" s="66">
        <v>45968</v>
      </c>
      <c r="G7" s="44"/>
      <c r="H7" s="45"/>
      <c r="I7" s="45"/>
      <c r="J7" s="45"/>
      <c r="K7" s="45"/>
      <c r="L7" s="45"/>
      <c r="M7" s="46"/>
      <c r="N7" s="47"/>
      <c r="O7" s="48"/>
      <c r="P7" s="44"/>
      <c r="Q7" s="45"/>
      <c r="R7" s="45"/>
      <c r="S7" s="45"/>
      <c r="T7" s="46"/>
      <c r="U7" s="49"/>
      <c r="V7" s="50"/>
      <c r="W7" s="50"/>
      <c r="X7" s="50"/>
      <c r="Y7" s="50"/>
      <c r="Z7" s="45"/>
      <c r="AA7" s="46"/>
      <c r="AB7" s="49"/>
      <c r="AC7" s="50"/>
      <c r="AD7" s="50"/>
      <c r="AE7" s="50"/>
      <c r="AF7" s="50"/>
      <c r="AG7" s="45"/>
      <c r="AH7" s="46"/>
      <c r="AI7" s="9"/>
      <c r="AJ7" s="5"/>
      <c r="AK7" s="5"/>
      <c r="AL7" s="5"/>
      <c r="AM7" s="5"/>
      <c r="AN7" s="3"/>
      <c r="AO7" s="8"/>
      <c r="AP7" s="9"/>
      <c r="AQ7" s="5"/>
      <c r="AR7" s="5"/>
      <c r="AS7" s="12"/>
      <c r="AT7" s="11"/>
      <c r="AU7" s="3"/>
      <c r="AV7" s="8"/>
      <c r="AW7" s="9"/>
      <c r="AX7" s="5"/>
      <c r="AY7" s="5"/>
      <c r="AZ7" s="5"/>
      <c r="BA7" s="5"/>
      <c r="BB7" s="45"/>
      <c r="BC7" s="46"/>
      <c r="BD7" s="49"/>
      <c r="BE7" s="50"/>
      <c r="BF7" s="50"/>
      <c r="BG7" s="50"/>
      <c r="BH7" s="50"/>
      <c r="BI7" s="45"/>
      <c r="BJ7" s="46"/>
      <c r="BK7" s="49"/>
      <c r="BL7" s="50"/>
      <c r="BM7" s="50"/>
      <c r="BN7" s="50"/>
      <c r="BO7" s="50"/>
      <c r="BP7" s="45"/>
      <c r="BQ7" s="46"/>
      <c r="BR7" s="49"/>
      <c r="BS7" s="50"/>
      <c r="BT7" s="50"/>
      <c r="BU7" s="50"/>
      <c r="BV7" s="50"/>
      <c r="BW7" s="45"/>
      <c r="BX7" s="48"/>
      <c r="BY7" s="52"/>
      <c r="BZ7" s="50"/>
      <c r="CA7" s="50"/>
      <c r="CB7" s="50"/>
      <c r="CC7" s="50"/>
      <c r="CD7" s="45"/>
      <c r="CE7" s="46"/>
      <c r="CF7" s="49"/>
      <c r="CG7" s="50"/>
      <c r="CH7" s="50"/>
      <c r="CI7" s="50"/>
      <c r="CJ7" s="51"/>
    </row>
    <row r="8" spans="2:90" ht="28.8" x14ac:dyDescent="0.3">
      <c r="B8" s="65">
        <v>4</v>
      </c>
      <c r="C8" s="4" t="s">
        <v>15</v>
      </c>
      <c r="D8" s="83" t="s">
        <v>19</v>
      </c>
      <c r="E8" s="62">
        <v>45971</v>
      </c>
      <c r="F8" s="66">
        <v>45989</v>
      </c>
      <c r="G8" s="44"/>
      <c r="H8" s="45"/>
      <c r="I8" s="45"/>
      <c r="J8" s="45"/>
      <c r="K8" s="45"/>
      <c r="L8" s="45"/>
      <c r="M8" s="46"/>
      <c r="N8" s="47"/>
      <c r="O8" s="48"/>
      <c r="P8" s="44"/>
      <c r="Q8" s="45"/>
      <c r="R8" s="45"/>
      <c r="S8" s="45"/>
      <c r="T8" s="46"/>
      <c r="U8" s="49"/>
      <c r="V8" s="50"/>
      <c r="W8" s="50"/>
      <c r="X8" s="50"/>
      <c r="Y8" s="50"/>
      <c r="Z8" s="45"/>
      <c r="AA8" s="46"/>
      <c r="AB8" s="49"/>
      <c r="AC8" s="50"/>
      <c r="AD8" s="50"/>
      <c r="AE8" s="50"/>
      <c r="AF8" s="50"/>
      <c r="AG8" s="45"/>
      <c r="AH8" s="46"/>
      <c r="AI8" s="49"/>
      <c r="AJ8" s="50"/>
      <c r="AK8" s="50"/>
      <c r="AL8" s="50"/>
      <c r="AM8" s="50"/>
      <c r="AN8" s="45"/>
      <c r="AO8" s="46"/>
      <c r="AP8" s="49"/>
      <c r="AQ8" s="50"/>
      <c r="AR8" s="50"/>
      <c r="AS8" s="51"/>
      <c r="AT8" s="52"/>
      <c r="AU8" s="45"/>
      <c r="AV8" s="46"/>
      <c r="AW8" s="49"/>
      <c r="AX8" s="50"/>
      <c r="AY8" s="50"/>
      <c r="AZ8" s="50"/>
      <c r="BA8" s="50"/>
      <c r="BB8" s="45"/>
      <c r="BC8" s="46"/>
      <c r="BD8" s="9"/>
      <c r="BE8" s="5"/>
      <c r="BF8" s="5"/>
      <c r="BG8" s="5"/>
      <c r="BH8" s="5"/>
      <c r="BI8" s="3"/>
      <c r="BJ8" s="8"/>
      <c r="BK8" s="9"/>
      <c r="BL8" s="5"/>
      <c r="BM8" s="5"/>
      <c r="BN8" s="5"/>
      <c r="BO8" s="5"/>
      <c r="BP8" s="3"/>
      <c r="BQ8" s="8"/>
      <c r="BR8" s="9"/>
      <c r="BS8" s="5"/>
      <c r="BT8" s="5"/>
      <c r="BU8" s="5"/>
      <c r="BV8" s="5"/>
      <c r="BW8" s="45"/>
      <c r="BX8" s="48"/>
      <c r="BY8" s="52"/>
      <c r="BZ8" s="50"/>
      <c r="CA8" s="50"/>
      <c r="CB8" s="50"/>
      <c r="CC8" s="50"/>
      <c r="CD8" s="45"/>
      <c r="CE8" s="46"/>
      <c r="CF8" s="49"/>
      <c r="CG8" s="50"/>
      <c r="CH8" s="50"/>
      <c r="CI8" s="50"/>
      <c r="CJ8" s="51"/>
    </row>
    <row r="9" spans="2:90" x14ac:dyDescent="0.3">
      <c r="B9" s="65">
        <v>5</v>
      </c>
      <c r="C9" s="4" t="s">
        <v>16</v>
      </c>
      <c r="D9" s="83" t="s">
        <v>20</v>
      </c>
      <c r="E9" s="62">
        <v>45992</v>
      </c>
      <c r="F9" s="66">
        <v>45996</v>
      </c>
      <c r="G9" s="44"/>
      <c r="H9" s="45"/>
      <c r="I9" s="45"/>
      <c r="J9" s="45"/>
      <c r="K9" s="45"/>
      <c r="L9" s="45"/>
      <c r="M9" s="46"/>
      <c r="N9" s="47"/>
      <c r="O9" s="48"/>
      <c r="P9" s="44"/>
      <c r="Q9" s="45"/>
      <c r="R9" s="45"/>
      <c r="S9" s="45"/>
      <c r="T9" s="46"/>
      <c r="U9" s="49"/>
      <c r="V9" s="50"/>
      <c r="W9" s="50"/>
      <c r="X9" s="50"/>
      <c r="Y9" s="50"/>
      <c r="Z9" s="45"/>
      <c r="AA9" s="46"/>
      <c r="AB9" s="49"/>
      <c r="AC9" s="50"/>
      <c r="AD9" s="50"/>
      <c r="AE9" s="50"/>
      <c r="AF9" s="50"/>
      <c r="AG9" s="45"/>
      <c r="AH9" s="46"/>
      <c r="AI9" s="49"/>
      <c r="AJ9" s="50"/>
      <c r="AK9" s="50"/>
      <c r="AL9" s="50"/>
      <c r="AM9" s="50"/>
      <c r="AN9" s="45"/>
      <c r="AO9" s="46"/>
      <c r="AP9" s="49"/>
      <c r="AQ9" s="50"/>
      <c r="AR9" s="50"/>
      <c r="AS9" s="51"/>
      <c r="AT9" s="52"/>
      <c r="AU9" s="45"/>
      <c r="AV9" s="46"/>
      <c r="AW9" s="49"/>
      <c r="AX9" s="50"/>
      <c r="AY9" s="50"/>
      <c r="AZ9" s="50"/>
      <c r="BA9" s="50"/>
      <c r="BB9" s="45"/>
      <c r="BC9" s="46"/>
      <c r="BD9" s="49"/>
      <c r="BE9" s="50"/>
      <c r="BF9" s="50"/>
      <c r="BG9" s="50"/>
      <c r="BH9" s="50"/>
      <c r="BI9" s="45"/>
      <c r="BJ9" s="46"/>
      <c r="BK9" s="49"/>
      <c r="BL9" s="50"/>
      <c r="BM9" s="50"/>
      <c r="BN9" s="50"/>
      <c r="BO9" s="50"/>
      <c r="BP9" s="45"/>
      <c r="BQ9" s="46"/>
      <c r="BR9" s="49"/>
      <c r="BS9" s="50"/>
      <c r="BT9" s="50"/>
      <c r="BU9" s="50"/>
      <c r="BV9" s="50"/>
      <c r="BW9" s="45"/>
      <c r="BX9" s="48"/>
      <c r="BY9" s="11"/>
      <c r="BZ9" s="5"/>
      <c r="CA9" s="5"/>
      <c r="CB9" s="5"/>
      <c r="CC9" s="5"/>
      <c r="CD9" s="45"/>
      <c r="CE9" s="46"/>
      <c r="CF9" s="49"/>
      <c r="CG9" s="50"/>
      <c r="CH9" s="50"/>
      <c r="CI9" s="50"/>
      <c r="CJ9" s="51"/>
    </row>
    <row r="10" spans="2:90" ht="15" thickBot="1" x14ac:dyDescent="0.35">
      <c r="B10" s="71">
        <v>6</v>
      </c>
      <c r="C10" s="72" t="s">
        <v>17</v>
      </c>
      <c r="D10" s="84" t="s">
        <v>21</v>
      </c>
      <c r="E10" s="73">
        <v>45999</v>
      </c>
      <c r="F10" s="74">
        <v>46003</v>
      </c>
      <c r="G10" s="53"/>
      <c r="H10" s="54"/>
      <c r="I10" s="54"/>
      <c r="J10" s="54"/>
      <c r="K10" s="54"/>
      <c r="L10" s="54"/>
      <c r="M10" s="55"/>
      <c r="N10" s="56"/>
      <c r="O10" s="57"/>
      <c r="P10" s="53"/>
      <c r="Q10" s="54"/>
      <c r="R10" s="54"/>
      <c r="S10" s="54"/>
      <c r="T10" s="55"/>
      <c r="U10" s="58"/>
      <c r="V10" s="59"/>
      <c r="W10" s="59"/>
      <c r="X10" s="59"/>
      <c r="Y10" s="59"/>
      <c r="Z10" s="54"/>
      <c r="AA10" s="55"/>
      <c r="AB10" s="58"/>
      <c r="AC10" s="59"/>
      <c r="AD10" s="59"/>
      <c r="AE10" s="59"/>
      <c r="AF10" s="59"/>
      <c r="AG10" s="54"/>
      <c r="AH10" s="55"/>
      <c r="AI10" s="58"/>
      <c r="AJ10" s="59"/>
      <c r="AK10" s="59"/>
      <c r="AL10" s="59"/>
      <c r="AM10" s="59"/>
      <c r="AN10" s="54"/>
      <c r="AO10" s="55"/>
      <c r="AP10" s="58"/>
      <c r="AQ10" s="59"/>
      <c r="AR10" s="59"/>
      <c r="AS10" s="60"/>
      <c r="AT10" s="61"/>
      <c r="AU10" s="54"/>
      <c r="AV10" s="55"/>
      <c r="AW10" s="58"/>
      <c r="AX10" s="59"/>
      <c r="AY10" s="59"/>
      <c r="AZ10" s="59"/>
      <c r="BA10" s="59"/>
      <c r="BB10" s="54"/>
      <c r="BC10" s="55"/>
      <c r="BD10" s="58"/>
      <c r="BE10" s="59"/>
      <c r="BF10" s="59"/>
      <c r="BG10" s="59"/>
      <c r="BH10" s="59"/>
      <c r="BI10" s="54"/>
      <c r="BJ10" s="55"/>
      <c r="BK10" s="58"/>
      <c r="BL10" s="59"/>
      <c r="BM10" s="59"/>
      <c r="BN10" s="59"/>
      <c r="BO10" s="59"/>
      <c r="BP10" s="54"/>
      <c r="BQ10" s="55"/>
      <c r="BR10" s="58"/>
      <c r="BS10" s="59"/>
      <c r="BT10" s="59"/>
      <c r="BU10" s="59"/>
      <c r="BV10" s="59"/>
      <c r="BW10" s="54"/>
      <c r="BX10" s="57"/>
      <c r="BY10" s="61"/>
      <c r="BZ10" s="59"/>
      <c r="CA10" s="59"/>
      <c r="CB10" s="59"/>
      <c r="CC10" s="59"/>
      <c r="CD10" s="54"/>
      <c r="CE10" s="55"/>
      <c r="CF10" s="10"/>
      <c r="CG10" s="6"/>
      <c r="CH10" s="6"/>
      <c r="CI10" s="6"/>
      <c r="CJ10" s="7"/>
      <c r="CK10" s="80"/>
      <c r="CL10" s="76"/>
    </row>
    <row r="11" spans="2:90" x14ac:dyDescent="0.3">
      <c r="B11" s="75"/>
      <c r="C11" s="76"/>
      <c r="D11" s="77"/>
      <c r="E11" s="78"/>
      <c r="F11" s="78"/>
      <c r="G11" s="88" t="s">
        <v>57</v>
      </c>
      <c r="H11" s="88"/>
      <c r="I11" s="88"/>
      <c r="J11" s="88"/>
      <c r="K11" s="88"/>
      <c r="L11" s="88"/>
      <c r="M11" s="88"/>
      <c r="N11" s="88" t="s">
        <v>58</v>
      </c>
      <c r="O11" s="88"/>
      <c r="P11" s="88"/>
      <c r="Q11" s="88"/>
      <c r="R11" s="88"/>
      <c r="S11" s="88"/>
      <c r="T11" s="88"/>
      <c r="U11" s="89" t="s">
        <v>59</v>
      </c>
      <c r="V11" s="89"/>
      <c r="W11" s="89"/>
      <c r="X11" s="89"/>
      <c r="Y11" s="89"/>
      <c r="Z11" s="89"/>
      <c r="AA11" s="89"/>
      <c r="AB11" s="88" t="s">
        <v>60</v>
      </c>
      <c r="AC11" s="88"/>
      <c r="AD11" s="88"/>
      <c r="AE11" s="88"/>
      <c r="AF11" s="88"/>
      <c r="AG11" s="88"/>
      <c r="AH11" s="88"/>
      <c r="AI11" s="88" t="s">
        <v>61</v>
      </c>
      <c r="AJ11" s="88"/>
      <c r="AK11" s="88"/>
      <c r="AL11" s="88"/>
      <c r="AM11" s="88"/>
      <c r="AN11" s="88"/>
      <c r="AO11" s="88"/>
      <c r="AP11" s="89" t="s">
        <v>62</v>
      </c>
      <c r="AQ11" s="89"/>
      <c r="AR11" s="89"/>
      <c r="AS11" s="89"/>
      <c r="AT11" s="89"/>
      <c r="AU11" s="89"/>
      <c r="AV11" s="89"/>
      <c r="AW11" s="88" t="s">
        <v>63</v>
      </c>
      <c r="AX11" s="88"/>
      <c r="AY11" s="88"/>
      <c r="AZ11" s="88"/>
      <c r="BA11" s="88"/>
      <c r="BB11" s="88"/>
      <c r="BC11" s="88"/>
      <c r="BD11" s="88" t="s">
        <v>64</v>
      </c>
      <c r="BE11" s="88"/>
      <c r="BF11" s="88"/>
      <c r="BG11" s="88"/>
      <c r="BH11" s="88"/>
      <c r="BI11" s="88"/>
      <c r="BJ11" s="88"/>
      <c r="BK11" s="89" t="s">
        <v>65</v>
      </c>
      <c r="BL11" s="89"/>
      <c r="BM11" s="89"/>
      <c r="BN11" s="89"/>
      <c r="BO11" s="89"/>
      <c r="BP11" s="89"/>
      <c r="BQ11" s="89"/>
      <c r="BR11" s="88" t="s">
        <v>66</v>
      </c>
      <c r="BS11" s="88"/>
      <c r="BT11" s="88"/>
      <c r="BU11" s="88"/>
      <c r="BV11" s="88"/>
      <c r="BW11" s="88"/>
      <c r="BX11" s="88"/>
      <c r="BY11" s="88" t="s">
        <v>67</v>
      </c>
      <c r="BZ11" s="88"/>
      <c r="CA11" s="88"/>
      <c r="CB11" s="88"/>
      <c r="CC11" s="88"/>
      <c r="CD11" s="88"/>
      <c r="CE11" s="88"/>
      <c r="CF11" s="89" t="s">
        <v>68</v>
      </c>
      <c r="CG11" s="89"/>
      <c r="CH11" s="89"/>
      <c r="CI11" s="89"/>
      <c r="CJ11" s="89"/>
      <c r="CK11" s="79"/>
      <c r="CL11" s="79"/>
    </row>
    <row r="13" spans="2:90" x14ac:dyDescent="0.3">
      <c r="B13" s="1" t="s">
        <v>10</v>
      </c>
      <c r="C13" s="1" t="s">
        <v>34</v>
      </c>
      <c r="D13" s="1" t="s">
        <v>31</v>
      </c>
      <c r="E13" s="2" t="s">
        <v>29</v>
      </c>
      <c r="F13" s="2" t="s">
        <v>32</v>
      </c>
    </row>
    <row r="14" spans="2:90" x14ac:dyDescent="0.3">
      <c r="B14" s="1">
        <v>1</v>
      </c>
      <c r="C14" s="2" t="str" cm="1">
        <f t="array" aca="1" ref="C14" ca="1">IF(F14="Terminado","-",IF(_xlfn.IFS(B14=B$5,F$5,B14=B$6,F$6,B14=B$7,F$7,B14=B$8,F$8,B14=B$9,F$9,B14=B$10,F$10)&lt;TODAY(),"FUERA DE PLAZO",_xlfn.IFS(B14=B$5,F$5,B14=B$6,F$6,B14=B$7,F$7,B14=B$8,F$8,B14=B$9,F$9,B14=B$10,F$10)))</f>
        <v>-</v>
      </c>
      <c r="D14" s="81" t="s">
        <v>35</v>
      </c>
      <c r="E14" s="2" t="s">
        <v>28</v>
      </c>
      <c r="F14" s="2" t="s">
        <v>30</v>
      </c>
    </row>
    <row r="15" spans="2:90" x14ac:dyDescent="0.3">
      <c r="B15" s="1">
        <v>1</v>
      </c>
      <c r="C15" s="2" t="str" cm="1">
        <f t="array" aca="1" ref="C15" ca="1">IF(F15="Terminado","-",IF(_xlfn.IFS(B15=B$5,F$5,B15=B$6,F$6,B15=B$7,F$7,B15=B$8,F$8,B15=B$9,F$9,B15=B$10,F$10)&lt;TODAY(),"FUERA DE PLAZO",_xlfn.IFS(B15=B$5,F$5,B15=B$6,F$6,B15=B$7,F$7,B15=B$8,F$8,B15=B$9,F$9,B15=B$10,F$10)))</f>
        <v>-</v>
      </c>
      <c r="D15" s="81" t="s">
        <v>36</v>
      </c>
      <c r="E15" s="2" t="s">
        <v>70</v>
      </c>
      <c r="F15" s="2" t="s">
        <v>30</v>
      </c>
    </row>
    <row r="16" spans="2:90" x14ac:dyDescent="0.3">
      <c r="B16" s="1">
        <v>1</v>
      </c>
      <c r="C16" s="2" t="str" cm="1">
        <f t="array" aca="1" ref="C16" ca="1">IF(F16="Terminado","-",IF(_xlfn.IFS(B16=B$5,F$5,B16=B$6,F$6,B16=B$7,F$7,B16=B$8,F$8,B16=B$9,F$9,B16=B$10,F$10)&lt;TODAY(),"FUERA DE PLAZO",_xlfn.IFS(B16=B$5,F$5,B16=B$6,F$6,B16=B$7,F$7,B16=B$8,F$8,B16=B$9,F$9,B16=B$10,F$10)))</f>
        <v>-</v>
      </c>
      <c r="D16" s="81" t="s">
        <v>37</v>
      </c>
      <c r="E16" s="2" t="s">
        <v>70</v>
      </c>
      <c r="F16" s="2" t="s">
        <v>30</v>
      </c>
    </row>
    <row r="17" spans="2:6" ht="15" thickBot="1" x14ac:dyDescent="0.35">
      <c r="B17" s="85">
        <v>1</v>
      </c>
      <c r="C17" s="86" t="str" cm="1">
        <f t="array" aca="1" ref="C17" ca="1">IF(F17="Terminado","-",IF(_xlfn.IFS(B17=B$5,F$5,B17=B$6,F$6,B17=B$7,F$7,B17=B$8,F$8,B17=B$9,F$9,B17=B$10,F$10)&lt;TODAY(),"FUERA DE PLAZO",_xlfn.IFS(B17=B$5,F$5,B17=B$6,F$6,B17=B$7,F$7,B17=B$8,F$8,B17=B$9,F$9,B17=B$10,F$10)))</f>
        <v>-</v>
      </c>
      <c r="D17" s="87" t="s">
        <v>38</v>
      </c>
      <c r="E17" s="86" t="s">
        <v>70</v>
      </c>
      <c r="F17" s="86" t="s">
        <v>30</v>
      </c>
    </row>
    <row r="18" spans="2:6" ht="15" thickTop="1" x14ac:dyDescent="0.3">
      <c r="B18" s="64">
        <v>2</v>
      </c>
      <c r="C18" s="2" cm="1">
        <f t="array" aca="1" ref="C18" ca="1">IF(F18="Terminado","-",IF(_xlfn.IFS(B18=B$5,F$5,B18=B$6,F$6,B18=B$7,F$7,B18=B$8,F$8,B18=B$9,F$9,B18=B$10,F$10)&lt;TODAY(),"FUERA DE PLAZO",_xlfn.IFS(B18=B$5,F$5,B18=B$6,F$6,B18=B$7,F$7,B18=B$8,F$8,B18=B$9,F$9,B18=B$10,F$10)))</f>
        <v>45947</v>
      </c>
      <c r="D18" s="81" t="s">
        <v>39</v>
      </c>
      <c r="E18" s="2" t="s">
        <v>69</v>
      </c>
      <c r="F18" s="2" t="s">
        <v>71</v>
      </c>
    </row>
    <row r="19" spans="2:6" x14ac:dyDescent="0.3">
      <c r="B19" s="63">
        <v>2</v>
      </c>
      <c r="C19" s="2" t="str" cm="1">
        <f t="array" aca="1" ref="C19" ca="1">IF(F19="Terminado","-",IF(_xlfn.IFS(B19=B$5,F$5,B19=B$6,F$6,B19=B$7,F$7,B19=B$8,F$8,B19=B$9,F$9,B19=B$10,F$10)&lt;TODAY(),"FUERA DE PLAZO",_xlfn.IFS(B19=B$5,F$5,B19=B$6,F$6,B19=B$7,F$7,B19=B$8,F$8,B19=B$9,F$9,B19=B$10,F$10)))</f>
        <v>-</v>
      </c>
      <c r="D19" s="81" t="s">
        <v>40</v>
      </c>
      <c r="E19" s="2" t="s">
        <v>70</v>
      </c>
      <c r="F19" s="2" t="s">
        <v>30</v>
      </c>
    </row>
    <row r="20" spans="2:6" x14ac:dyDescent="0.3">
      <c r="B20" s="1">
        <v>2</v>
      </c>
      <c r="C20" s="2" t="str" cm="1">
        <f t="array" aca="1" ref="C20" ca="1">IF(F20="Terminado","-",IF(_xlfn.IFS(B20=B$5,F$5,B20=B$6,F$6,B20=B$7,F$7,B20=B$8,F$8,B20=B$9,F$9,B20=B$10,F$10)&lt;TODAY(),"FUERA DE PLAZO",_xlfn.IFS(B20=B$5,F$5,B20=B$6,F$6,B20=B$7,F$7,B20=B$8,F$8,B20=B$9,F$9,B20=B$10,F$10)))</f>
        <v>-</v>
      </c>
      <c r="D20" s="81" t="s">
        <v>41</v>
      </c>
      <c r="E20" s="2" t="s">
        <v>70</v>
      </c>
      <c r="F20" s="2" t="s">
        <v>30</v>
      </c>
    </row>
    <row r="21" spans="2:6" ht="15" thickBot="1" x14ac:dyDescent="0.35">
      <c r="B21" s="85">
        <v>2</v>
      </c>
      <c r="C21" s="86" cm="1">
        <f t="array" aca="1" ref="C21" ca="1">IF(F21="Terminado","-",IF(_xlfn.IFS(B21=B$5,F$5,B21=B$6,F$6,B21=B$7,F$7,B21=B$8,F$8,B21=B$9,F$9,B21=B$10,F$10)&lt;TODAY(),"FUERA DE PLAZO",_xlfn.IFS(B21=B$5,F$5,B21=B$6,F$6,B21=B$7,F$7,B21=B$8,F$8,B21=B$9,F$9,B21=B$10,F$10)))</f>
        <v>45947</v>
      </c>
      <c r="D21" s="87" t="s">
        <v>42</v>
      </c>
      <c r="E21" s="86" t="s">
        <v>69</v>
      </c>
      <c r="F21" s="86" t="s">
        <v>33</v>
      </c>
    </row>
    <row r="22" spans="2:6" ht="15" thickTop="1" x14ac:dyDescent="0.3">
      <c r="B22" s="1">
        <v>3</v>
      </c>
      <c r="C22" s="2" cm="1">
        <f t="array" aca="1" ref="C22" ca="1">IF(F22="Terminado","-",IF(_xlfn.IFS(B22=B$5,F$5,B22=B$6,F$6,B22=B$7,F$7,B22=B$8,F$8,B22=B$9,F$9,B22=B$10,F$10)&lt;TODAY(),"FUERA DE PLAZO",_xlfn.IFS(B22=B$5,F$5,B22=B$6,F$6,B22=B$7,F$7,B22=B$8,F$8,B22=B$9,F$9,B22=B$10,F$10)))</f>
        <v>45968</v>
      </c>
      <c r="D22" s="81" t="s">
        <v>43</v>
      </c>
      <c r="E22" s="2" t="s">
        <v>69</v>
      </c>
      <c r="F22" s="2" t="s">
        <v>71</v>
      </c>
    </row>
    <row r="23" spans="2:6" x14ac:dyDescent="0.3">
      <c r="B23" s="1">
        <v>3</v>
      </c>
      <c r="C23" s="2" cm="1">
        <f t="array" aca="1" ref="C23" ca="1">IF(F23="Terminado","-",IF(_xlfn.IFS(B23=B$5,F$5,B23=B$6,F$6,B23=B$7,F$7,B23=B$8,F$8,B23=B$9,F$9,B23=B$10,F$10)&lt;TODAY(),"FUERA DE PLAZO",_xlfn.IFS(B23=B$5,F$5,B23=B$6,F$6,B23=B$7,F$7,B23=B$8,F$8,B23=B$9,F$9,B23=B$10,F$10)))</f>
        <v>45968</v>
      </c>
      <c r="D23" s="81" t="s">
        <v>44</v>
      </c>
      <c r="E23" s="2" t="s">
        <v>70</v>
      </c>
      <c r="F23" s="2" t="s">
        <v>33</v>
      </c>
    </row>
    <row r="24" spans="2:6" x14ac:dyDescent="0.3">
      <c r="B24" s="1">
        <v>3</v>
      </c>
      <c r="C24" s="2" t="str" cm="1">
        <f t="array" aca="1" ref="C24" ca="1">IF(F24="Terminado","-",IF(_xlfn.IFS(B24=B$5,F$5,B24=B$6,F$6,B24=B$7,F$7,B24=B$8,F$8,B24=B$9,F$9,B24=B$10,F$10)&lt;TODAY(),"FUERA DE PLAZO",_xlfn.IFS(B24=B$5,F$5,B24=B$6,F$6,B24=B$7,F$7,B24=B$8,F$8,B24=B$9,F$9,B24=B$10,F$10)))</f>
        <v>-</v>
      </c>
      <c r="D24" s="81" t="s">
        <v>45</v>
      </c>
      <c r="E24" s="2" t="s">
        <v>70</v>
      </c>
      <c r="F24" s="2" t="s">
        <v>30</v>
      </c>
    </row>
    <row r="25" spans="2:6" ht="15" thickBot="1" x14ac:dyDescent="0.35">
      <c r="B25" s="85">
        <v>3</v>
      </c>
      <c r="C25" s="86" cm="1">
        <f t="array" aca="1" ref="C25" ca="1">IF(F25="Terminado","-",IF(_xlfn.IFS(B25=B$5,F$5,B25=B$6,F$6,B25=B$7,F$7,B25=B$8,F$8,B25=B$9,F$9,B25=B$10,F$10)&lt;TODAY(),"FUERA DE PLAZO",_xlfn.IFS(B25=B$5,F$5,B25=B$6,F$6,B25=B$7,F$7,B25=B$8,F$8,B25=B$9,F$9,B25=B$10,F$10)))</f>
        <v>45968</v>
      </c>
      <c r="D25" s="87" t="s">
        <v>46</v>
      </c>
      <c r="E25" s="86" t="s">
        <v>28</v>
      </c>
      <c r="F25" s="86" t="s">
        <v>33</v>
      </c>
    </row>
    <row r="26" spans="2:6" ht="15" thickTop="1" x14ac:dyDescent="0.3">
      <c r="B26" s="1">
        <v>4</v>
      </c>
      <c r="C26" s="2" cm="1">
        <f t="array" aca="1" ref="C26" ca="1">IF(F26="Terminado","-",IF(_xlfn.IFS(B26=B$5,F$5,B26=B$6,F$6,B26=B$7,F$7,B26=B$8,F$8,B26=B$9,F$9,B26=B$10,F$10)&lt;TODAY(),"FUERA DE PLAZO",_xlfn.IFS(B26=B$5,F$5,B26=B$6,F$6,B26=B$7,F$7,B26=B$8,F$8,B26=B$9,F$9,B26=B$10,F$10)))</f>
        <v>45989</v>
      </c>
      <c r="D26" s="82" t="s">
        <v>47</v>
      </c>
      <c r="E26" s="2" t="s">
        <v>70</v>
      </c>
      <c r="F26" s="2" t="s">
        <v>33</v>
      </c>
    </row>
    <row r="27" spans="2:6" x14ac:dyDescent="0.3">
      <c r="B27" s="1">
        <v>4</v>
      </c>
      <c r="C27" s="2" cm="1">
        <f t="array" aca="1" ref="C27" ca="1">IF(F27="Terminado","-",IF(_xlfn.IFS(B27=B$5,F$5,B27=B$6,F$6,B27=B$7,F$7,B27=B$8,F$8,B27=B$9,F$9,B27=B$10,F$10)&lt;TODAY(),"FUERA DE PLAZO",_xlfn.IFS(B27=B$5,F$5,B27=B$6,F$6,B27=B$7,F$7,B27=B$8,F$8,B27=B$9,F$9,B27=B$10,F$10)))</f>
        <v>45989</v>
      </c>
      <c r="D27" s="81" t="s">
        <v>48</v>
      </c>
      <c r="E27" s="2" t="s">
        <v>70</v>
      </c>
      <c r="F27" s="2" t="s">
        <v>33</v>
      </c>
    </row>
    <row r="28" spans="2:6" x14ac:dyDescent="0.3">
      <c r="B28" s="1">
        <v>4</v>
      </c>
      <c r="C28" s="2" cm="1">
        <f t="array" aca="1" ref="C28" ca="1">IF(F28="Terminado","-",IF(_xlfn.IFS(B28=B$5,F$5,B28=B$6,F$6,B28=B$7,F$7,B28=B$8,F$8,B28=B$9,F$9,B28=B$10,F$10)&lt;TODAY(),"FUERA DE PLAZO",_xlfn.IFS(B28=B$5,F$5,B28=B$6,F$6,B28=B$7,F$7,B28=B$8,F$8,B28=B$9,F$9,B28=B$10,F$10)))</f>
        <v>45989</v>
      </c>
      <c r="D28" s="81" t="s">
        <v>49</v>
      </c>
      <c r="E28" s="2" t="s">
        <v>69</v>
      </c>
      <c r="F28" s="2" t="s">
        <v>33</v>
      </c>
    </row>
    <row r="29" spans="2:6" ht="15" thickBot="1" x14ac:dyDescent="0.35">
      <c r="B29" s="85">
        <v>4</v>
      </c>
      <c r="C29" s="86" cm="1">
        <f t="array" aca="1" ref="C29" ca="1">IF(F29="Terminado","-",IF(_xlfn.IFS(B29=B$5,F$5,B29=B$6,F$6,B29=B$7,F$7,B29=B$8,F$8,B29=B$9,F$9,B29=B$10,F$10)&lt;TODAY(),"FUERA DE PLAZO",_xlfn.IFS(B29=B$5,F$5,B29=B$6,F$6,B29=B$7,F$7,B29=B$8,F$8,B29=B$9,F$9,B29=B$10,F$10)))</f>
        <v>45989</v>
      </c>
      <c r="D29" s="87" t="s">
        <v>50</v>
      </c>
      <c r="E29" s="86" t="s">
        <v>70</v>
      </c>
      <c r="F29" s="86" t="s">
        <v>33</v>
      </c>
    </row>
    <row r="30" spans="2:6" ht="15" thickTop="1" x14ac:dyDescent="0.3">
      <c r="B30" s="1">
        <v>5</v>
      </c>
      <c r="C30" s="2" cm="1">
        <f t="array" aca="1" ref="C30" ca="1">IF(F30="Terminado","-",IF(_xlfn.IFS(B30=B$5,F$5,B30=B$6,F$6,B30=B$7,F$7,B30=B$8,F$8,B30=B$9,F$9,B30=B$10,F$10)&lt;TODAY(),"FUERA DE PLAZO",_xlfn.IFS(B30=B$5,F$5,B30=B$6,F$6,B30=B$7,F$7,B30=B$8,F$8,B30=B$9,F$9,B30=B$10,F$10)))</f>
        <v>45996</v>
      </c>
      <c r="D30" s="81" t="s">
        <v>51</v>
      </c>
      <c r="E30" s="2" t="s">
        <v>28</v>
      </c>
      <c r="F30" s="2" t="s">
        <v>33</v>
      </c>
    </row>
    <row r="31" spans="2:6" x14ac:dyDescent="0.3">
      <c r="B31" s="1">
        <v>5</v>
      </c>
      <c r="C31" s="2" cm="1">
        <f t="array" aca="1" ref="C31" ca="1">IF(F31="Terminado","-",IF(_xlfn.IFS(B31=B$5,F$5,B31=B$6,F$6,B31=B$7,F$7,B31=B$8,F$8,B31=B$9,F$9,B31=B$10,F$10)&lt;TODAY(),"FUERA DE PLAZO",_xlfn.IFS(B31=B$5,F$5,B31=B$6,F$6,B31=B$7,F$7,B31=B$8,F$8,B31=B$9,F$9,B31=B$10,F$10)))</f>
        <v>45996</v>
      </c>
      <c r="D31" s="81" t="s">
        <v>52</v>
      </c>
      <c r="E31" s="2" t="s">
        <v>28</v>
      </c>
      <c r="F31" s="2" t="s">
        <v>33</v>
      </c>
    </row>
    <row r="32" spans="2:6" ht="15" thickBot="1" x14ac:dyDescent="0.35">
      <c r="B32" s="85">
        <v>5</v>
      </c>
      <c r="C32" s="86" cm="1">
        <f t="array" aca="1" ref="C32" ca="1">IF(F32="Terminado","-",IF(_xlfn.IFS(B32=B$5,F$5,B32=B$6,F$6,B32=B$7,F$7,B32=B$8,F$8,B32=B$9,F$9,B32=B$10,F$10)&lt;TODAY(),"FUERA DE PLAZO",_xlfn.IFS(B32=B$5,F$5,B32=B$6,F$6,B32=B$7,F$7,B32=B$8,F$8,B32=B$9,F$9,B32=B$10,F$10)))</f>
        <v>45996</v>
      </c>
      <c r="D32" s="87" t="s">
        <v>53</v>
      </c>
      <c r="E32" s="86" t="s">
        <v>28</v>
      </c>
      <c r="F32" s="86" t="s">
        <v>33</v>
      </c>
    </row>
    <row r="33" spans="2:6" ht="15" thickTop="1" x14ac:dyDescent="0.3">
      <c r="B33" s="1">
        <v>6</v>
      </c>
      <c r="C33" s="2" cm="1">
        <f t="array" aca="1" ref="C33" ca="1">IF(F33="Terminado","-",IF(_xlfn.IFS(B33=B$5,F$5,B33=B$6,F$6,B33=B$7,F$7,B33=B$8,F$8,B33=B$9,F$9,B33=B$10,F$10)&lt;TODAY(),"FUERA DE PLAZO",_xlfn.IFS(B33=B$5,F$5,B33=B$6,F$6,B33=B$7,F$7,B33=B$8,F$8,B33=B$9,F$9,B33=B$10,F$10)))</f>
        <v>46003</v>
      </c>
      <c r="D33" s="81" t="s">
        <v>54</v>
      </c>
      <c r="E33" s="2" t="s">
        <v>70</v>
      </c>
      <c r="F33" s="2" t="s">
        <v>33</v>
      </c>
    </row>
    <row r="34" spans="2:6" x14ac:dyDescent="0.3">
      <c r="B34" s="1">
        <v>6</v>
      </c>
      <c r="C34" s="2" cm="1">
        <f t="array" aca="1" ref="C34" ca="1">IF(F34="Terminado","-",IF(_xlfn.IFS(B34=B$5,F$5,B34=B$6,F$6,B34=B$7,F$7,B34=B$8,F$8,B34=B$9,F$9,B34=B$10,F$10)&lt;TODAY(),"FUERA DE PLAZO",_xlfn.IFS(B34=B$5,F$5,B34=B$6,F$6,B34=B$7,F$7,B34=B$8,F$8,B34=B$9,F$9,B34=B$10,F$10)))</f>
        <v>46003</v>
      </c>
      <c r="D34" s="81" t="s">
        <v>55</v>
      </c>
      <c r="E34" s="2" t="s">
        <v>28</v>
      </c>
      <c r="F34" s="2" t="s">
        <v>33</v>
      </c>
    </row>
    <row r="35" spans="2:6" x14ac:dyDescent="0.3">
      <c r="B35" s="1">
        <v>6</v>
      </c>
      <c r="C35" s="2" cm="1">
        <f t="array" aca="1" ref="C35" ca="1">IF(F35="Terminado","-",IF(_xlfn.IFS(B35=B$5,F$5,B35=B$6,F$6,B35=B$7,F$7,B35=B$8,F$8,B35=B$9,F$9,B35=B$10,F$10)&lt;TODAY(),"FUERA DE PLAZO",_xlfn.IFS(B35=B$5,F$5,B35=B$6,F$6,B35=B$7,F$7,B35=B$8,F$8,B35=B$9,F$9,B35=B$10,F$10)))</f>
        <v>46003</v>
      </c>
      <c r="D35" s="81" t="s">
        <v>56</v>
      </c>
      <c r="E35" s="2" t="s">
        <v>28</v>
      </c>
      <c r="F35" s="2" t="s">
        <v>33</v>
      </c>
    </row>
    <row r="36" spans="2:6" x14ac:dyDescent="0.3">
      <c r="D36"/>
    </row>
    <row r="37" spans="2:6" x14ac:dyDescent="0.3">
      <c r="D37"/>
    </row>
    <row r="38" spans="2:6" x14ac:dyDescent="0.3">
      <c r="D38"/>
    </row>
    <row r="39" spans="2:6" x14ac:dyDescent="0.3">
      <c r="D39"/>
    </row>
    <row r="40" spans="2:6" x14ac:dyDescent="0.3">
      <c r="D40"/>
    </row>
    <row r="41" spans="2:6" x14ac:dyDescent="0.3">
      <c r="D41"/>
    </row>
    <row r="42" spans="2:6" x14ac:dyDescent="0.3">
      <c r="D42"/>
    </row>
    <row r="43" spans="2:6" x14ac:dyDescent="0.3">
      <c r="D43"/>
    </row>
    <row r="44" spans="2:6" x14ac:dyDescent="0.3">
      <c r="D44"/>
    </row>
    <row r="45" spans="2:6" x14ac:dyDescent="0.3">
      <c r="D45"/>
    </row>
    <row r="46" spans="2:6" x14ac:dyDescent="0.3">
      <c r="D46"/>
    </row>
    <row r="47" spans="2:6" x14ac:dyDescent="0.3">
      <c r="D47"/>
    </row>
    <row r="48" spans="2:6" x14ac:dyDescent="0.3">
      <c r="D48"/>
    </row>
    <row r="49" spans="4:4" x14ac:dyDescent="0.3">
      <c r="D49"/>
    </row>
    <row r="50" spans="4:4" x14ac:dyDescent="0.3">
      <c r="D50"/>
    </row>
  </sheetData>
  <mergeCells count="17">
    <mergeCell ref="BY2:CJ2"/>
    <mergeCell ref="G2:O2"/>
    <mergeCell ref="P2:AS2"/>
    <mergeCell ref="B2:F3"/>
    <mergeCell ref="AT2:BX2"/>
    <mergeCell ref="G11:M11"/>
    <mergeCell ref="N11:T11"/>
    <mergeCell ref="U11:AA11"/>
    <mergeCell ref="AB11:AH11"/>
    <mergeCell ref="AI11:AO11"/>
    <mergeCell ref="BY11:CE11"/>
    <mergeCell ref="CF11:CJ11"/>
    <mergeCell ref="AP11:AV11"/>
    <mergeCell ref="AW11:BC11"/>
    <mergeCell ref="BD11:BJ11"/>
    <mergeCell ref="BK11:BQ11"/>
    <mergeCell ref="BR11:BX11"/>
  </mergeCells>
  <phoneticPr fontId="2" type="noConversion"/>
  <conditionalFormatting sqref="F14:F35">
    <cfRule type="cellIs" dxfId="18" priority="3" operator="equal">
      <formula>"Pendiente"</formula>
    </cfRule>
    <cfRule type="cellIs" dxfId="17" priority="2" operator="equal">
      <formula>"Terminado"</formula>
    </cfRule>
    <cfRule type="cellIs" dxfId="16" priority="1" operator="equal">
      <formula>"En Proceso"</formula>
    </cfRule>
  </conditionalFormatting>
  <pageMargins left="0.7" right="0.7" top="0.75" bottom="0.75" header="0.3" footer="0.3"/>
  <pageSetup orientation="portrait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Practicantes CFE</dc:creator>
  <cp:lastModifiedBy>Temporal</cp:lastModifiedBy>
  <dcterms:created xsi:type="dcterms:W3CDTF">2025-10-03T14:18:38Z</dcterms:created>
  <dcterms:modified xsi:type="dcterms:W3CDTF">2025-10-14T17:33:50Z</dcterms:modified>
</cp:coreProperties>
</file>